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3 vs L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084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3" borderId="0" pivotButton="0" quotePrefix="0" xfId="0"/>
    <xf numFmtId="3" fontId="0" fillId="4" borderId="0" pivotButton="0" quotePrefix="0" xfId="0"/>
    <xf numFmtId="3" fontId="0" fillId="5" borderId="0" pivotButton="0" quotePrefix="0" xfId="0"/>
    <xf numFmtId="164" fontId="0" fillId="3" borderId="0" pivotButton="0" quotePrefix="0" xfId="0"/>
    <xf numFmtId="164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6" customWidth="1" min="4" max="4"/>
    <col width="5" customWidth="1" min="5" max="5"/>
    <col width="5" customWidth="1" min="6" max="6"/>
    <col width="11" customWidth="1" min="7" max="7"/>
    <col width="9" customWidth="1" min="8" max="8"/>
    <col width="5" customWidth="1" min="9" max="9"/>
    <col width="16" customWidth="1" min="10" max="10"/>
    <col width="9" customWidth="1" min="11" max="11"/>
    <col width="9" customWidth="1" min="12" max="12"/>
    <col width="9" customWidth="1" min="13" max="13"/>
    <col width="9" customWidth="1" min="14" max="14"/>
    <col width="8" customWidth="1" min="15" max="15"/>
    <col width="11" customWidth="1" min="16" max="16"/>
    <col width="11" customWidth="1" min="17" max="17"/>
    <col width="11" customWidth="1" min="18" max="18"/>
    <col width="8" customWidth="1" min="19" max="19"/>
    <col width="8" customWidth="1" min="20" max="20"/>
    <col width="30" customWidth="1" min="21" max="21"/>
  </cols>
  <sheetData>
    <row r="1" ht="32" customHeight="1">
      <c r="A1" s="1" t="inlineStr">
        <is>
          <t>מספר</t>
        </is>
      </c>
      <c r="B1" s="1" t="inlineStr">
        <is>
          <t>יצרן</t>
        </is>
      </c>
      <c r="C1" s="1" t="inlineStr">
        <is>
          <t>דגם</t>
        </is>
      </c>
      <c r="D1" s="1" t="inlineStr">
        <is>
          <t>שנה</t>
        </is>
      </c>
      <c r="E1" s="1" t="inlineStr">
        <is>
          <t>גיל</t>
        </is>
      </c>
      <c r="F1" s="1" t="inlineStr">
        <is>
          <t>מ'</t>
        </is>
      </c>
      <c r="G1" s="1" t="inlineStr">
        <is>
          <t>מחיר קטלוג</t>
        </is>
      </c>
      <c r="H1" s="1" t="inlineStr">
        <is>
          <t>ק"מ</t>
        </is>
      </c>
      <c r="I1" s="1" t="inlineStr">
        <is>
          <t>יד</t>
        </is>
      </c>
      <c r="J1" s="1" t="inlineStr">
        <is>
          <t>שכבה</t>
        </is>
      </c>
      <c r="K1" s="1" t="inlineStr">
        <is>
          <t>f_גיל×דלק</t>
        </is>
      </c>
      <c r="L1" s="1" t="inlineStr">
        <is>
          <t>f_בעלות</t>
        </is>
      </c>
      <c r="M1" s="1" t="inlineStr">
        <is>
          <t>f_ק"מ</t>
        </is>
      </c>
      <c r="N1" s="1" t="inlineStr">
        <is>
          <t>f_יצרן</t>
        </is>
      </c>
      <c r="O1" s="1" t="inlineStr">
        <is>
          <t>פקטור</t>
        </is>
      </c>
      <c r="P1" s="1" t="inlineStr">
        <is>
          <t>Kotlin ישן</t>
        </is>
      </c>
      <c r="Q1" s="1" t="inlineStr">
        <is>
          <t>v3 חדש</t>
        </is>
      </c>
      <c r="R1" s="1" t="inlineStr">
        <is>
          <t>לוי יצחק</t>
        </is>
      </c>
      <c r="S1" s="1" t="inlineStr">
        <is>
          <t>Δ ישן</t>
        </is>
      </c>
      <c r="T1" s="1" t="inlineStr">
        <is>
          <t>Δ v3</t>
        </is>
      </c>
      <c r="U1" s="1" t="inlineStr">
        <is>
          <t>הערות</t>
        </is>
      </c>
    </row>
    <row r="2">
      <c r="A2" t="inlineStr">
        <is>
          <t>9216412</t>
        </is>
      </c>
      <c r="B2" t="inlineStr">
        <is>
          <t>סוזוקי הונגריה</t>
        </is>
      </c>
      <c r="C2" t="inlineStr">
        <is>
          <t>SWIFT</t>
        </is>
      </c>
      <c r="D2" t="n">
        <v>2013</v>
      </c>
      <c r="E2" t="n">
        <v>12.9</v>
      </c>
      <c r="F2" t="inlineStr">
        <is>
          <t>IL</t>
        </is>
      </c>
      <c r="G2" s="2" t="n">
        <v>97990</v>
      </c>
      <c r="H2" s="2" t="n"/>
      <c r="I2" t="n">
        <v>1</v>
      </c>
      <c r="J2" t="inlineStr">
        <is>
          <t>Suzuki-solid</t>
        </is>
      </c>
      <c r="K2" t="n">
        <v>0.156</v>
      </c>
      <c r="L2" t="n">
        <v>1</v>
      </c>
      <c r="M2" t="n">
        <v>1</v>
      </c>
      <c r="N2" t="n">
        <v>1.05</v>
      </c>
      <c r="O2" t="n">
        <v>0.168</v>
      </c>
      <c r="P2" s="3" t="n">
        <v>27000</v>
      </c>
      <c r="Q2" s="4" t="n">
        <v>16000</v>
      </c>
      <c r="R2" s="5" t="n">
        <v>18240</v>
      </c>
      <c r="S2" s="6" t="n">
        <v>-0.3244444444444444</v>
      </c>
      <c r="T2" s="7" t="n">
        <v>0.14</v>
      </c>
    </row>
    <row r="3">
      <c r="A3" t="inlineStr">
        <is>
          <t>8798832</t>
        </is>
      </c>
      <c r="B3" t="inlineStr">
        <is>
          <t>שברולט ד.קוריא</t>
        </is>
      </c>
      <c r="C3" t="inlineStr">
        <is>
          <t>CRUZE</t>
        </is>
      </c>
      <c r="D3" t="n">
        <v>2014</v>
      </c>
      <c r="E3" t="n">
        <v>11.4</v>
      </c>
      <c r="F3" t="inlineStr">
        <is>
          <t>IL</t>
        </is>
      </c>
      <c r="G3" s="2" t="n">
        <v>124900</v>
      </c>
      <c r="H3" s="2" t="n"/>
      <c r="I3" t="n">
        <v>1</v>
      </c>
      <c r="J3" t="inlineStr">
        <is>
          <t>Old-generic</t>
        </is>
      </c>
      <c r="K3" t="n">
        <v>0.197</v>
      </c>
      <c r="L3" t="n">
        <v>1</v>
      </c>
      <c r="M3" t="n">
        <v>1</v>
      </c>
      <c r="N3" t="n">
        <v>0.7</v>
      </c>
      <c r="O3" t="n">
        <v>0.138</v>
      </c>
      <c r="P3" s="3" t="n">
        <v>39000</v>
      </c>
      <c r="Q3" s="4" t="n">
        <v>17000</v>
      </c>
      <c r="R3" s="5" t="n">
        <v>15600</v>
      </c>
      <c r="S3" s="6" t="n">
        <v>-0.6</v>
      </c>
      <c r="T3" s="7" t="n">
        <v>-0.08235294117647059</v>
      </c>
    </row>
    <row r="4">
      <c r="A4" t="inlineStr">
        <is>
          <t>53844602</t>
        </is>
      </c>
      <c r="B4" t="inlineStr">
        <is>
          <t>יונדאי קוריאה</t>
        </is>
      </c>
      <c r="C4" t="inlineStr">
        <is>
          <t>KONA</t>
        </is>
      </c>
      <c r="D4" t="n">
        <v>2021</v>
      </c>
      <c r="E4" t="n">
        <v>4.9</v>
      </c>
      <c r="F4" t="inlineStr">
        <is>
          <t>IL</t>
        </is>
      </c>
      <c r="G4" s="2" t="n">
        <v>134900</v>
      </c>
      <c r="H4" s="2" t="n">
        <v>41704</v>
      </c>
      <c r="I4" t="n">
        <v>3</v>
      </c>
      <c r="J4" t="inlineStr">
        <is>
          <t>Korean-IL</t>
        </is>
      </c>
      <c r="K4" t="n">
        <v>0.628</v>
      </c>
      <c r="L4" t="n">
        <v>0.9</v>
      </c>
      <c r="M4" t="n">
        <v>1.032</v>
      </c>
      <c r="N4" t="n">
        <v>1.1</v>
      </c>
      <c r="O4" t="n">
        <v>0.6929999999999999</v>
      </c>
      <c r="P4" s="3" t="n">
        <v>86500</v>
      </c>
      <c r="Q4" s="4" t="n">
        <v>93500</v>
      </c>
      <c r="R4" s="5" t="n">
        <v>84900</v>
      </c>
      <c r="S4" s="6" t="n">
        <v>-0.0184971098265896</v>
      </c>
      <c r="T4" s="7" t="n">
        <v>-0.09197860962566845</v>
      </c>
    </row>
    <row r="5">
      <c r="A5" t="inlineStr">
        <is>
          <t>8159053</t>
        </is>
      </c>
      <c r="B5" t="inlineStr">
        <is>
          <t>אופל-ספרד</t>
        </is>
      </c>
      <c r="C5" t="inlineStr">
        <is>
          <t>CORSA</t>
        </is>
      </c>
      <c r="D5" t="n">
        <v>2014</v>
      </c>
      <c r="E5" t="n">
        <v>11.9</v>
      </c>
      <c r="F5" t="inlineStr">
        <is>
          <t>IL</t>
        </is>
      </c>
      <c r="G5" s="2" t="n">
        <v>103990</v>
      </c>
      <c r="H5" s="2" t="n"/>
      <c r="I5" t="n">
        <v>1</v>
      </c>
      <c r="J5" t="inlineStr">
        <is>
          <t>Old-generic</t>
        </is>
      </c>
      <c r="K5" t="n">
        <v>0.183</v>
      </c>
      <c r="L5" t="n">
        <v>1</v>
      </c>
      <c r="M5" t="n">
        <v>1</v>
      </c>
      <c r="N5" t="n">
        <v>0.7</v>
      </c>
      <c r="O5" t="n">
        <v>0.128</v>
      </c>
      <c r="P5" s="3" t="n">
        <v>31000</v>
      </c>
      <c r="Q5" s="4" t="n">
        <v>13000</v>
      </c>
      <c r="R5" s="5" t="n">
        <v>14200</v>
      </c>
      <c r="S5" s="6" t="n">
        <v>-0.5419354838709678</v>
      </c>
      <c r="T5" s="7" t="n">
        <v>0.09230769230769231</v>
      </c>
    </row>
    <row r="6">
      <c r="A6" t="inlineStr">
        <is>
          <t>18470201</t>
        </is>
      </c>
      <c r="B6" t="inlineStr">
        <is>
          <t>רנו טורקיה</t>
        </is>
      </c>
      <c r="C6" t="inlineStr">
        <is>
          <t>GRAND COUPE</t>
        </is>
      </c>
      <c r="D6" t="n">
        <v>2017</v>
      </c>
      <c r="E6" t="n">
        <v>8.9</v>
      </c>
      <c r="F6" t="inlineStr">
        <is>
          <t>IL</t>
        </is>
      </c>
      <c r="G6" s="2" t="n">
        <v>133990</v>
      </c>
      <c r="H6" s="2" t="n">
        <v>227888</v>
      </c>
      <c r="I6" t="n">
        <v>4</v>
      </c>
      <c r="J6" t="inlineStr">
        <is>
          <t>Weak-resale</t>
        </is>
      </c>
      <c r="K6" t="n">
        <v>0.277</v>
      </c>
      <c r="L6" t="n">
        <v>0.8080000000000001</v>
      </c>
      <c r="M6" t="n">
        <v>0.95</v>
      </c>
      <c r="N6" t="n">
        <v>0.92</v>
      </c>
      <c r="O6" t="n">
        <v>0.196</v>
      </c>
      <c r="P6" s="3" t="n">
        <v>29000</v>
      </c>
      <c r="Q6" s="4" t="n">
        <v>26000</v>
      </c>
      <c r="R6" s="5" t="n">
        <v>47000</v>
      </c>
      <c r="S6" s="6" t="n">
        <v>0.6206896551724138</v>
      </c>
      <c r="T6" s="7" t="n">
        <v>0.8076923076923077</v>
      </c>
    </row>
    <row r="7">
      <c r="A7" t="inlineStr">
        <is>
          <t>86038602</t>
        </is>
      </c>
      <c r="B7" t="inlineStr">
        <is>
          <t>קיה קוריאה</t>
        </is>
      </c>
      <c r="C7" t="inlineStr">
        <is>
          <t>PICANTO</t>
        </is>
      </c>
      <c r="D7" t="n">
        <v>2022</v>
      </c>
      <c r="E7" t="n">
        <v>3.9</v>
      </c>
      <c r="F7" t="inlineStr">
        <is>
          <t>IL</t>
        </is>
      </c>
      <c r="G7" s="2" t="n">
        <v>86900</v>
      </c>
      <c r="H7" s="2" t="n">
        <v>28524</v>
      </c>
      <c r="I7" t="n">
        <v>1</v>
      </c>
      <c r="J7" t="inlineStr">
        <is>
          <t>Korean-IL</t>
        </is>
      </c>
      <c r="K7" t="n">
        <v>0.679</v>
      </c>
      <c r="L7" t="n">
        <v>1</v>
      </c>
      <c r="M7" t="n">
        <v>1.03</v>
      </c>
      <c r="N7" t="n">
        <v>1.1</v>
      </c>
      <c r="O7" t="n">
        <v>0.769</v>
      </c>
      <c r="P7" s="3" t="n">
        <v>65000</v>
      </c>
      <c r="Q7" s="4" t="n">
        <v>66500</v>
      </c>
      <c r="R7" s="5" t="n">
        <v>74900</v>
      </c>
      <c r="S7" s="6" t="n">
        <v>0.1523076923076923</v>
      </c>
      <c r="T7" s="7" t="n">
        <v>0.1263157894736842</v>
      </c>
    </row>
    <row r="8">
      <c r="A8" t="inlineStr">
        <is>
          <t>68505001</t>
        </is>
      </c>
      <c r="B8" t="inlineStr">
        <is>
          <t>קיה סלובקיה</t>
        </is>
      </c>
      <c r="C8" t="inlineStr">
        <is>
          <t>SPORTAGE</t>
        </is>
      </c>
      <c r="D8" t="n">
        <v>2019</v>
      </c>
      <c r="E8" t="n">
        <v>6.9</v>
      </c>
      <c r="F8" t="inlineStr">
        <is>
          <t>IL</t>
        </is>
      </c>
      <c r="G8" s="2" t="n">
        <v>155900</v>
      </c>
      <c r="H8" s="2" t="n">
        <v>118431</v>
      </c>
      <c r="I8" t="n">
        <v>3</v>
      </c>
      <c r="J8" t="inlineStr">
        <is>
          <t>Korean-IL</t>
        </is>
      </c>
      <c r="K8" t="n">
        <v>0.437</v>
      </c>
      <c r="L8" t="n">
        <v>0.9</v>
      </c>
      <c r="M8" t="n">
        <v>0.985</v>
      </c>
      <c r="N8" t="n">
        <v>1.1</v>
      </c>
      <c r="O8" t="n">
        <v>0.43</v>
      </c>
      <c r="P8" s="3" t="n">
        <v>67000</v>
      </c>
      <c r="Q8" s="4" t="n">
        <v>67000</v>
      </c>
      <c r="R8" s="5" t="n">
        <v>75000</v>
      </c>
      <c r="S8" s="6" t="n">
        <v>0.1194029850746269</v>
      </c>
      <c r="T8" s="7" t="n">
        <v>0.1194029850746269</v>
      </c>
    </row>
    <row r="9">
      <c r="A9" t="inlineStr">
        <is>
          <t>6301854</t>
        </is>
      </c>
      <c r="B9" t="inlineStr">
        <is>
          <t>שברולט ד.קוריא</t>
        </is>
      </c>
      <c r="C9" t="inlineStr">
        <is>
          <t>SONIC LT</t>
        </is>
      </c>
      <c r="D9" t="n">
        <v>2014</v>
      </c>
      <c r="E9" t="n">
        <v>11.9</v>
      </c>
      <c r="F9" t="inlineStr">
        <is>
          <t>IL</t>
        </is>
      </c>
      <c r="G9" s="2" t="n">
        <v>99900</v>
      </c>
      <c r="H9" s="2" t="n"/>
      <c r="I9" t="n">
        <v>1</v>
      </c>
      <c r="J9" t="inlineStr">
        <is>
          <t>Old-generic</t>
        </is>
      </c>
      <c r="K9" t="n">
        <v>0.183</v>
      </c>
      <c r="L9" t="n">
        <v>1</v>
      </c>
      <c r="M9" t="n">
        <v>1</v>
      </c>
      <c r="N9" t="n">
        <v>0.7</v>
      </c>
      <c r="O9" t="n">
        <v>0.128</v>
      </c>
      <c r="P9" s="3" t="n">
        <v>30000</v>
      </c>
      <c r="Q9" s="4" t="n">
        <v>12500</v>
      </c>
      <c r="R9" s="5" t="n">
        <v>13200</v>
      </c>
      <c r="S9" s="6" t="n">
        <v>-0.5600000000000001</v>
      </c>
      <c r="T9" s="7" t="n">
        <v>0.056</v>
      </c>
    </row>
    <row r="10">
      <c r="A10" t="inlineStr">
        <is>
          <t>1216839</t>
        </is>
      </c>
      <c r="B10" t="inlineStr">
        <is>
          <t>פיאט איטליה</t>
        </is>
      </c>
      <c r="C10" t="inlineStr">
        <is>
          <t>500X</t>
        </is>
      </c>
      <c r="D10" t="n">
        <v>2016</v>
      </c>
      <c r="E10" t="n">
        <v>9.9</v>
      </c>
      <c r="F10" t="inlineStr">
        <is>
          <t>IL</t>
        </is>
      </c>
      <c r="G10" s="2" t="n">
        <v>131990</v>
      </c>
      <c r="H10" s="2" t="n"/>
      <c r="I10" t="n">
        <v>1</v>
      </c>
      <c r="J10" t="inlineStr">
        <is>
          <t>Weak-resale</t>
        </is>
      </c>
      <c r="K10" t="n">
        <v>0.25</v>
      </c>
      <c r="L10" t="n">
        <v>1</v>
      </c>
      <c r="M10" t="n">
        <v>1</v>
      </c>
      <c r="N10" t="n">
        <v>0.92</v>
      </c>
      <c r="O10" t="n">
        <v>0.223</v>
      </c>
      <c r="P10" s="3" t="n">
        <v>43500</v>
      </c>
      <c r="Q10" s="4" t="n">
        <v>29000</v>
      </c>
      <c r="R10" s="5" t="n">
        <v>28700</v>
      </c>
      <c r="S10" s="6" t="n">
        <v>-0.3402298850574713</v>
      </c>
      <c r="T10" s="7" t="n">
        <v>-0.0103448275862069</v>
      </c>
    </row>
    <row r="11">
      <c r="A11" t="inlineStr">
        <is>
          <t>9180184</t>
        </is>
      </c>
      <c r="B11" t="inlineStr">
        <is>
          <t>סוזוקי תאילנד</t>
        </is>
      </c>
      <c r="C11" t="inlineStr">
        <is>
          <t>CELERIO</t>
        </is>
      </c>
      <c r="D11" t="n">
        <v>2016</v>
      </c>
      <c r="E11" t="n">
        <v>9.300000000000001</v>
      </c>
      <c r="F11" t="inlineStr">
        <is>
          <t>IL</t>
        </is>
      </c>
      <c r="G11" s="2" t="n">
        <v>65990</v>
      </c>
      <c r="H11" s="2" t="n"/>
      <c r="I11" t="n">
        <v>1</v>
      </c>
      <c r="J11" t="inlineStr">
        <is>
          <t>Suzuki-solid</t>
        </is>
      </c>
      <c r="K11" t="n">
        <v>0.277</v>
      </c>
      <c r="L11" t="n">
        <v>1</v>
      </c>
      <c r="M11" t="n">
        <v>1</v>
      </c>
      <c r="N11" t="n">
        <v>1.05</v>
      </c>
      <c r="O11" t="n">
        <v>0.29</v>
      </c>
      <c r="P11" s="3" t="n">
        <v>25500</v>
      </c>
      <c r="Q11" s="4" t="n">
        <v>19000</v>
      </c>
      <c r="R11" s="5" t="n">
        <v>15800</v>
      </c>
      <c r="S11" s="6" t="n">
        <v>-0.3803921568627451</v>
      </c>
      <c r="T11" s="7" t="n">
        <v>-0.1684210526315789</v>
      </c>
    </row>
    <row r="12">
      <c r="A12" t="inlineStr">
        <is>
          <t>49441301</t>
        </is>
      </c>
      <c r="B12" t="inlineStr">
        <is>
          <t>סקודה צ'כיה</t>
        </is>
      </c>
      <c r="C12" t="inlineStr">
        <is>
          <t>KODIAQ</t>
        </is>
      </c>
      <c r="D12" t="n">
        <v>2018</v>
      </c>
      <c r="E12" t="n">
        <v>7.9</v>
      </c>
      <c r="F12" t="inlineStr">
        <is>
          <t>IL</t>
        </is>
      </c>
      <c r="G12" s="2" t="n">
        <v>202990</v>
      </c>
      <c r="H12" s="2" t="n">
        <v>242200</v>
      </c>
      <c r="I12" t="n">
        <v>2</v>
      </c>
      <c r="J12" t="inlineStr">
        <is>
          <t>Mid-reliable</t>
        </is>
      </c>
      <c r="K12" t="n">
        <v>0.363</v>
      </c>
      <c r="L12" t="n">
        <v>0.95</v>
      </c>
      <c r="M12" t="n">
        <v>0.95</v>
      </c>
      <c r="N12" t="n">
        <v>1.02</v>
      </c>
      <c r="O12" t="n">
        <v>0.337</v>
      </c>
      <c r="P12" s="3" t="n">
        <v>67000</v>
      </c>
      <c r="Q12" s="4" t="n">
        <v>68000</v>
      </c>
      <c r="R12" s="5" t="n">
        <v>79000</v>
      </c>
      <c r="S12" s="6" t="n">
        <v>0.1791044776119403</v>
      </c>
      <c r="T12" s="7" t="n">
        <v>0.1617647058823529</v>
      </c>
    </row>
    <row r="13">
      <c r="A13" t="inlineStr">
        <is>
          <t>59426903</t>
        </is>
      </c>
      <c r="B13" t="inlineStr">
        <is>
          <t>רנו ספרד</t>
        </is>
      </c>
      <c r="C13" t="inlineStr">
        <is>
          <t>AUSTRAL</t>
        </is>
      </c>
      <c r="D13" t="n">
        <v>2024</v>
      </c>
      <c r="E13" t="n">
        <v>1.9</v>
      </c>
      <c r="F13" t="inlineStr">
        <is>
          <t>IL</t>
        </is>
      </c>
      <c r="G13" s="2" t="n">
        <v>171990</v>
      </c>
      <c r="H13" s="2" t="n">
        <v>54408</v>
      </c>
      <c r="I13" t="n">
        <v>1</v>
      </c>
      <c r="J13" t="inlineStr">
        <is>
          <t>Weak-resale</t>
        </is>
      </c>
      <c r="K13" t="n">
        <v>0.793</v>
      </c>
      <c r="L13" t="n">
        <v>0.82</v>
      </c>
      <c r="M13" t="n">
        <v>0.974</v>
      </c>
      <c r="N13" t="n">
        <v>0.92</v>
      </c>
      <c r="O13" t="n">
        <v>0.612</v>
      </c>
      <c r="P13" s="3" t="n">
        <v>100000</v>
      </c>
      <c r="Q13" s="4" t="n">
        <v>105000</v>
      </c>
      <c r="R13" s="5" t="n">
        <v>112000</v>
      </c>
      <c r="S13" s="6" t="n">
        <v>0.12</v>
      </c>
      <c r="T13" s="7" t="n">
        <v>0.06666666666666667</v>
      </c>
    </row>
    <row r="14">
      <c r="A14" t="inlineStr">
        <is>
          <t>31477902</t>
        </is>
      </c>
      <c r="B14" t="inlineStr">
        <is>
          <t>מ.ג סין</t>
        </is>
      </c>
      <c r="C14" t="inlineStr">
        <is>
          <t>EHS PHEV</t>
        </is>
      </c>
      <c r="D14" t="n">
        <v>2022</v>
      </c>
      <c r="E14" t="n">
        <v>3.9</v>
      </c>
      <c r="F14" t="inlineStr">
        <is>
          <t>IL</t>
        </is>
      </c>
      <c r="G14" s="2" t="n">
        <v>168888</v>
      </c>
      <c r="H14" s="2" t="n">
        <v>49850</v>
      </c>
      <c r="I14" t="n">
        <v>2</v>
      </c>
      <c r="J14" t="inlineStr">
        <is>
          <t>Chinese-IL</t>
        </is>
      </c>
      <c r="K14" t="n">
        <v>0.78</v>
      </c>
      <c r="L14" t="n">
        <v>0.95</v>
      </c>
      <c r="M14" t="n">
        <v>1.009</v>
      </c>
      <c r="N14" t="n">
        <v>0.88</v>
      </c>
      <c r="O14" t="n">
        <v>0.632</v>
      </c>
      <c r="P14" s="3" t="n">
        <v>74000</v>
      </c>
      <c r="Q14" s="4" t="n">
        <v>106000</v>
      </c>
      <c r="R14" s="5" t="n">
        <v>120500</v>
      </c>
      <c r="S14" s="6" t="n">
        <v>0.6283783783783784</v>
      </c>
      <c r="T14" s="7" t="n">
        <v>0.1367924528301887</v>
      </c>
    </row>
    <row r="15">
      <c r="A15" t="inlineStr">
        <is>
          <t>71495801</t>
        </is>
      </c>
      <c r="B15" t="inlineStr">
        <is>
          <t>רובר אנגליה</t>
        </is>
      </c>
      <c r="C15" t="inlineStr">
        <is>
          <t>RANGE  R.SPORT</t>
        </is>
      </c>
      <c r="D15" t="n">
        <v>2019</v>
      </c>
      <c r="E15" t="n">
        <v>6.9</v>
      </c>
      <c r="F15" t="inlineStr">
        <is>
          <t>IL</t>
        </is>
      </c>
      <c r="G15" s="2" t="n">
        <v>677000</v>
      </c>
      <c r="H15" s="2" t="n">
        <v>27101</v>
      </c>
      <c r="I15" t="n">
        <v>1</v>
      </c>
      <c r="J15" t="inlineStr">
        <is>
          <t>Premium-Lux</t>
        </is>
      </c>
      <c r="K15" t="n">
        <v>0.415</v>
      </c>
      <c r="L15" t="n">
        <v>1</v>
      </c>
      <c r="M15" t="n">
        <v>1.076</v>
      </c>
      <c r="N15" t="n">
        <v>0.85</v>
      </c>
      <c r="O15" t="n">
        <v>0.383</v>
      </c>
      <c r="P15" s="3" t="n">
        <v>302000</v>
      </c>
      <c r="Q15" s="4" t="n">
        <v>259000</v>
      </c>
      <c r="R15" s="5" t="n">
        <v>246980</v>
      </c>
      <c r="S15" s="6" t="n">
        <v>-0.1821854304635762</v>
      </c>
      <c r="T15" s="7" t="n">
        <v>-0.04640926640926641</v>
      </c>
    </row>
    <row r="16">
      <c r="A16" t="inlineStr">
        <is>
          <t>32719704</t>
        </is>
      </c>
      <c r="B16" t="inlineStr">
        <is>
          <t>צ'רי סין</t>
        </is>
      </c>
      <c r="C16" t="inlineStr">
        <is>
          <t>FX EV</t>
        </is>
      </c>
      <c r="D16" t="n">
        <v>2025</v>
      </c>
      <c r="E16" t="n">
        <v>0.9</v>
      </c>
      <c r="F16" t="inlineStr">
        <is>
          <t>IL</t>
        </is>
      </c>
      <c r="G16" s="2" t="n">
        <v>164990</v>
      </c>
      <c r="H16" s="2" t="n"/>
      <c r="I16" t="n">
        <v>1</v>
      </c>
      <c r="J16" t="inlineStr">
        <is>
          <t>Chinese-IL</t>
        </is>
      </c>
      <c r="K16" t="n">
        <v>0.643</v>
      </c>
      <c r="L16" t="n">
        <v>1</v>
      </c>
      <c r="M16" t="n">
        <v>1</v>
      </c>
      <c r="N16" t="n">
        <v>1</v>
      </c>
      <c r="O16" t="n">
        <v>0.656</v>
      </c>
      <c r="P16" s="3" t="n">
        <v>97500</v>
      </c>
      <c r="Q16" s="4" t="n">
        <v>108000</v>
      </c>
      <c r="R16" s="5" t="n">
        <v>128340</v>
      </c>
      <c r="S16" s="6" t="n">
        <v>0.3163076923076923</v>
      </c>
      <c r="T16" s="7" t="n">
        <v>0.1883333333333333</v>
      </c>
    </row>
    <row r="17">
      <c r="A17" t="inlineStr">
        <is>
          <t>5599931</t>
        </is>
      </c>
      <c r="B17" t="inlineStr">
        <is>
          <t>וולבו בלגיה</t>
        </is>
      </c>
      <c r="C17" t="inlineStr">
        <is>
          <t>XC60 T5</t>
        </is>
      </c>
      <c r="D17" t="n">
        <v>2014</v>
      </c>
      <c r="E17" t="n">
        <v>11.9</v>
      </c>
      <c r="F17" t="inlineStr">
        <is>
          <t>IL</t>
        </is>
      </c>
      <c r="G17" s="2" t="n">
        <v>319900</v>
      </c>
      <c r="H17" s="2" t="n"/>
      <c r="I17" t="n">
        <v>1</v>
      </c>
      <c r="J17" t="inlineStr">
        <is>
          <t>Premium-Lux</t>
        </is>
      </c>
      <c r="K17" t="n">
        <v>0.183</v>
      </c>
      <c r="L17" t="n">
        <v>1</v>
      </c>
      <c r="M17" t="n">
        <v>1</v>
      </c>
      <c r="N17" t="n">
        <v>0.85</v>
      </c>
      <c r="O17" t="n">
        <v>0.156</v>
      </c>
      <c r="P17" s="3" t="n">
        <v>81500</v>
      </c>
      <c r="Q17" s="4" t="n">
        <v>49500</v>
      </c>
      <c r="R17" s="5" t="n">
        <v>44000</v>
      </c>
      <c r="S17" s="6" t="n">
        <v>-0.4601226993865031</v>
      </c>
      <c r="T17" s="7" t="n">
        <v>-0.1111111111111111</v>
      </c>
    </row>
    <row r="18">
      <c r="A18" t="inlineStr">
        <is>
          <t>55057701</t>
        </is>
      </c>
      <c r="B18" t="inlineStr">
        <is>
          <t>מרצדס בנץ ארהב</t>
        </is>
      </c>
      <c r="C18" t="inlineStr">
        <is>
          <t>GLE350D  4MATIC</t>
        </is>
      </c>
      <c r="D18" t="n">
        <v>2018</v>
      </c>
      <c r="E18" t="n">
        <v>7.5</v>
      </c>
      <c r="F18" t="inlineStr">
        <is>
          <t>IL</t>
        </is>
      </c>
      <c r="G18" s="2" t="n">
        <v>605000</v>
      </c>
      <c r="H18" s="2" t="n">
        <v>119214</v>
      </c>
      <c r="I18" t="n">
        <v>2</v>
      </c>
      <c r="J18" t="inlineStr">
        <is>
          <t>Premium-Lux</t>
        </is>
      </c>
      <c r="K18" t="n">
        <v>0.358</v>
      </c>
      <c r="L18" t="n">
        <v>0.95</v>
      </c>
      <c r="M18" t="n">
        <v>0.994</v>
      </c>
      <c r="N18" t="n">
        <v>0.85</v>
      </c>
      <c r="O18" t="n">
        <v>0.298</v>
      </c>
      <c r="P18" s="3" t="n">
        <v>207000</v>
      </c>
      <c r="Q18" s="4" t="n">
        <v>180000</v>
      </c>
      <c r="R18" s="5" t="n">
        <v>154000</v>
      </c>
      <c r="S18" s="6" t="n">
        <v>-0.2560386473429952</v>
      </c>
      <c r="T18" s="7" t="n">
        <v>-0.1444444444444444</v>
      </c>
    </row>
    <row r="19">
      <c r="A19" t="inlineStr">
        <is>
          <t>52876104</t>
        </is>
      </c>
      <c r="B19" t="inlineStr">
        <is>
          <t>קיה קוריאה</t>
        </is>
      </c>
      <c r="C19" t="inlineStr">
        <is>
          <t>PICANTO</t>
        </is>
      </c>
      <c r="D19" t="n">
        <v>2026</v>
      </c>
      <c r="E19" t="n">
        <v>0</v>
      </c>
      <c r="F19" t="inlineStr">
        <is>
          <t>IL</t>
        </is>
      </c>
      <c r="G19" s="2" t="n">
        <v>109900</v>
      </c>
      <c r="H19" s="2" t="n"/>
      <c r="I19" t="n">
        <v>1</v>
      </c>
      <c r="J19" t="inlineStr">
        <is>
          <t>Korean-IL</t>
        </is>
      </c>
      <c r="K19" t="n">
        <v>0.92</v>
      </c>
      <c r="L19" t="n">
        <v>0.82</v>
      </c>
      <c r="M19" t="n">
        <v>1</v>
      </c>
      <c r="N19" t="n">
        <v>1.1</v>
      </c>
      <c r="O19" t="n">
        <v>0.797</v>
      </c>
      <c r="P19" s="3" t="n">
        <v>79500</v>
      </c>
      <c r="Q19" s="4" t="n">
        <v>87500</v>
      </c>
      <c r="R19" s="5" t="n">
        <v>88700</v>
      </c>
      <c r="S19" s="6" t="n">
        <v>0.1157232704402516</v>
      </c>
      <c r="T19" s="7" t="n">
        <v>0.01371428571428571</v>
      </c>
    </row>
    <row r="20">
      <c r="A20" t="inlineStr">
        <is>
          <t>33567401</t>
        </is>
      </c>
      <c r="B20" t="inlineStr">
        <is>
          <t>מזדה יפן</t>
        </is>
      </c>
      <c r="C20" t="inlineStr">
        <is>
          <t>CX-5</t>
        </is>
      </c>
      <c r="D20" t="n">
        <v>2018</v>
      </c>
      <c r="E20" t="n">
        <v>7.9</v>
      </c>
      <c r="F20" t="inlineStr">
        <is>
          <t>IL</t>
        </is>
      </c>
      <c r="G20" s="2" t="n">
        <v>179000</v>
      </c>
      <c r="H20" s="2" t="n">
        <v>69200</v>
      </c>
      <c r="I20" t="n">
        <v>2</v>
      </c>
      <c r="J20" t="inlineStr">
        <is>
          <t>Premium-reliable</t>
        </is>
      </c>
      <c r="K20" t="n">
        <v>0.363</v>
      </c>
      <c r="L20" t="n">
        <v>0.95</v>
      </c>
      <c r="M20" t="n">
        <v>1.049</v>
      </c>
      <c r="N20" t="n">
        <v>1.1</v>
      </c>
      <c r="O20" t="n">
        <v>0.413</v>
      </c>
      <c r="P20" s="3" t="n">
        <v>82500</v>
      </c>
      <c r="Q20" s="4" t="n">
        <v>73500</v>
      </c>
      <c r="R20" s="5" t="n">
        <v>88810</v>
      </c>
      <c r="S20" s="6" t="n">
        <v>0.07648484848484849</v>
      </c>
      <c r="T20" s="7" t="n">
        <v>0.2082993197278911</v>
      </c>
    </row>
    <row r="21">
      <c r="A21" t="inlineStr">
        <is>
          <t>35780802</t>
        </is>
      </c>
      <c r="B21" t="inlineStr">
        <is>
          <t>יונדאי קוריאה</t>
        </is>
      </c>
      <c r="C21" t="inlineStr">
        <is>
          <t>IONIQ HYBRID</t>
        </is>
      </c>
      <c r="D21" t="n">
        <v>2021</v>
      </c>
      <c r="E21" t="n">
        <v>4.9</v>
      </c>
      <c r="F21" t="inlineStr">
        <is>
          <t>IL</t>
        </is>
      </c>
      <c r="G21" s="2" t="n">
        <v>143900</v>
      </c>
      <c r="H21" s="2" t="n">
        <v>63053</v>
      </c>
      <c r="I21" t="n">
        <v>2</v>
      </c>
      <c r="J21" t="inlineStr">
        <is>
          <t>Korean-IL</t>
        </is>
      </c>
      <c r="K21" t="n">
        <v>0.722</v>
      </c>
      <c r="L21" t="n">
        <v>0.858</v>
      </c>
      <c r="M21" t="n">
        <v>1.01</v>
      </c>
      <c r="N21" t="n">
        <v>1.1</v>
      </c>
      <c r="O21" t="n">
        <v>0.681</v>
      </c>
      <c r="P21" s="3" t="n">
        <v>76000</v>
      </c>
      <c r="Q21" s="4" t="n">
        <v>97500</v>
      </c>
      <c r="R21" s="5" t="n">
        <v>110000</v>
      </c>
      <c r="S21" s="6" t="n">
        <v>0.4473684210526316</v>
      </c>
      <c r="T21" s="7" t="n">
        <v>0.1282051282051282</v>
      </c>
    </row>
    <row r="22">
      <c r="A22" t="inlineStr">
        <is>
          <t>7953975</t>
        </is>
      </c>
      <c r="B22" t="inlineStr">
        <is>
          <t>ניסאן אנגליה</t>
        </is>
      </c>
      <c r="C22" t="inlineStr">
        <is>
          <t>QASHQAI PLUS 2</t>
        </is>
      </c>
      <c r="D22" t="n">
        <v>2011</v>
      </c>
      <c r="E22" t="n">
        <v>14.4</v>
      </c>
      <c r="F22" t="inlineStr">
        <is>
          <t>IL</t>
        </is>
      </c>
      <c r="G22" s="2" t="n">
        <v>215000</v>
      </c>
      <c r="H22" s="2" t="n"/>
      <c r="I22" t="n">
        <v>1</v>
      </c>
      <c r="J22" t="inlineStr">
        <is>
          <t>Mid-reliable</t>
        </is>
      </c>
      <c r="K22" t="n">
        <v>0.121</v>
      </c>
      <c r="L22" t="n">
        <v>1</v>
      </c>
      <c r="M22" t="n">
        <v>1</v>
      </c>
      <c r="N22" t="n">
        <v>1.02</v>
      </c>
      <c r="O22" t="n">
        <v>0.116</v>
      </c>
      <c r="P22" s="3" t="n">
        <v>46000</v>
      </c>
      <c r="Q22" s="4" t="n">
        <v>24500</v>
      </c>
      <c r="R22" s="5" t="n">
        <v>29400</v>
      </c>
      <c r="S22" s="6" t="n">
        <v>-0.3608695652173913</v>
      </c>
      <c r="T22" s="7" t="n">
        <v>0.2</v>
      </c>
    </row>
    <row r="23">
      <c r="A23" t="inlineStr">
        <is>
          <t>6984137</t>
        </is>
      </c>
      <c r="B23" t="inlineStr">
        <is>
          <t>דאציה רומניה</t>
        </is>
      </c>
      <c r="C23" t="inlineStr">
        <is>
          <t>SANDERO</t>
        </is>
      </c>
      <c r="D23" t="n">
        <v>2016</v>
      </c>
      <c r="E23" t="n">
        <v>9.9</v>
      </c>
      <c r="F23" t="inlineStr">
        <is>
          <t>IL</t>
        </is>
      </c>
      <c r="G23" s="2" t="n">
        <v>69490</v>
      </c>
      <c r="H23" s="2" t="n"/>
      <c r="I23" t="n">
        <v>1</v>
      </c>
      <c r="J23" t="inlineStr">
        <is>
          <t>Weak-resale</t>
        </is>
      </c>
      <c r="K23" t="n">
        <v>0.25</v>
      </c>
      <c r="L23" t="n">
        <v>1</v>
      </c>
      <c r="M23" t="n">
        <v>1</v>
      </c>
      <c r="N23" t="n">
        <v>0.92</v>
      </c>
      <c r="O23" t="n">
        <v>0.23</v>
      </c>
      <c r="P23" s="3" t="n">
        <v>23500</v>
      </c>
      <c r="Q23" s="4" t="n">
        <v>15500</v>
      </c>
      <c r="R23" s="5" t="n">
        <v>19000</v>
      </c>
      <c r="S23" s="6" t="n">
        <v>-0.1914893617021277</v>
      </c>
      <c r="T23" s="7" t="n">
        <v>0.2258064516129032</v>
      </c>
    </row>
    <row r="24">
      <c r="A24" t="inlineStr">
        <is>
          <t>78381703</t>
        </is>
      </c>
      <c r="B24" t="inlineStr">
        <is>
          <t>מיצובישי תאילנ</t>
        </is>
      </c>
      <c r="C24" t="inlineStr">
        <is>
          <t>SPACE STAR</t>
        </is>
      </c>
      <c r="D24" t="n">
        <v>2024</v>
      </c>
      <c r="E24" t="n">
        <v>1.5</v>
      </c>
      <c r="F24" t="inlineStr">
        <is>
          <t>IL</t>
        </is>
      </c>
      <c r="G24" s="2" t="n">
        <v>91990</v>
      </c>
      <c r="H24" s="2" t="n"/>
      <c r="I24" t="n">
        <v>1</v>
      </c>
      <c r="J24" t="inlineStr">
        <is>
          <t>Mid-reliable</t>
        </is>
      </c>
      <c r="K24" t="n">
        <v>0.8159999999999999</v>
      </c>
      <c r="L24" t="n">
        <v>1</v>
      </c>
      <c r="M24" t="n">
        <v>1</v>
      </c>
      <c r="N24" t="n">
        <v>1.02</v>
      </c>
      <c r="O24" t="n">
        <v>0.823</v>
      </c>
      <c r="P24" s="3" t="n">
        <v>72500</v>
      </c>
      <c r="Q24" s="4" t="n">
        <v>75500</v>
      </c>
      <c r="R24" s="5" t="n">
        <v>74700</v>
      </c>
      <c r="S24" s="6" t="n">
        <v>0.0303448275862069</v>
      </c>
      <c r="T24" s="7" t="n">
        <v>-0.01059602649006623</v>
      </c>
    </row>
    <row r="25">
      <c r="A25" t="inlineStr">
        <is>
          <t>5746767</t>
        </is>
      </c>
      <c r="B25" t="inlineStr">
        <is>
          <t>סובארו יפן</t>
        </is>
      </c>
      <c r="C25" t="inlineStr">
        <is>
          <t>FORESTER</t>
        </is>
      </c>
      <c r="D25" t="n">
        <v>2009</v>
      </c>
      <c r="E25" t="n">
        <v>16.9</v>
      </c>
      <c r="F25" t="inlineStr">
        <is>
          <t>IL</t>
        </is>
      </c>
      <c r="G25" s="2" t="n">
        <v>179900</v>
      </c>
      <c r="H25" s="2" t="n"/>
      <c r="I25" t="n">
        <v>1</v>
      </c>
      <c r="J25" t="inlineStr">
        <is>
          <t>Premium-reliable</t>
        </is>
      </c>
      <c r="K25" t="n">
        <v>0.081</v>
      </c>
      <c r="L25" t="n">
        <v>1</v>
      </c>
      <c r="M25" t="n">
        <v>1</v>
      </c>
      <c r="N25" t="n">
        <v>1.1</v>
      </c>
      <c r="O25" t="n">
        <v>0.094</v>
      </c>
      <c r="P25" s="3" t="n">
        <v>36500</v>
      </c>
      <c r="Q25" s="4" t="n">
        <v>16500</v>
      </c>
      <c r="R25" s="5" t="n">
        <v>23600</v>
      </c>
      <c r="S25" s="6" t="n">
        <v>-0.3534246575342466</v>
      </c>
      <c r="T25" s="7" t="n">
        <v>0.4303030303030303</v>
      </c>
    </row>
    <row r="26">
      <c r="A26" t="inlineStr">
        <is>
          <t>15849203</t>
        </is>
      </c>
      <c r="B26" t="inlineStr">
        <is>
          <t>מיצובישי יפן</t>
        </is>
      </c>
      <c r="C26" t="inlineStr">
        <is>
          <t>ECLIPSE CROSS</t>
        </is>
      </c>
      <c r="D26" t="n">
        <v>2022</v>
      </c>
      <c r="E26" t="n">
        <v>3.4</v>
      </c>
      <c r="F26" t="inlineStr">
        <is>
          <t>IL</t>
        </is>
      </c>
      <c r="G26" s="2" t="n">
        <v>159900</v>
      </c>
      <c r="H26" s="2" t="n">
        <v>20535</v>
      </c>
      <c r="I26" t="n">
        <v>1</v>
      </c>
      <c r="J26" t="inlineStr">
        <is>
          <t>Mid-reliable</t>
        </is>
      </c>
      <c r="K26" t="n">
        <v>0.703</v>
      </c>
      <c r="L26" t="n">
        <v>1</v>
      </c>
      <c r="M26" t="n">
        <v>1.031</v>
      </c>
      <c r="N26" t="n">
        <v>1.02</v>
      </c>
      <c r="O26" t="n">
        <v>0.768</v>
      </c>
      <c r="P26" s="3" t="n">
        <v>122000</v>
      </c>
      <c r="Q26" s="4" t="n">
        <v>122000</v>
      </c>
      <c r="R26" s="5" t="n">
        <v>109000</v>
      </c>
      <c r="S26" s="6" t="n">
        <v>-0.1065573770491803</v>
      </c>
      <c r="T26" s="7" t="n">
        <v>-0.1065573770491803</v>
      </c>
    </row>
    <row r="27">
      <c r="A27" t="inlineStr">
        <is>
          <t>6673713</t>
        </is>
      </c>
      <c r="B27" t="inlineStr">
        <is>
          <t>סיטרואן ספרד</t>
        </is>
      </c>
      <c r="C27" t="inlineStr">
        <is>
          <t>BERLINGO</t>
        </is>
      </c>
      <c r="D27" t="n">
        <v>2012</v>
      </c>
      <c r="E27" t="n">
        <v>13.9</v>
      </c>
      <c r="F27" t="inlineStr">
        <is>
          <t>IL</t>
        </is>
      </c>
      <c r="G27" s="2" t="n">
        <v>124990</v>
      </c>
      <c r="H27" s="2" t="n"/>
      <c r="I27" t="n">
        <v>1</v>
      </c>
      <c r="J27" t="inlineStr">
        <is>
          <t>Commercial</t>
        </is>
      </c>
      <c r="K27" t="n">
        <v>0.122</v>
      </c>
      <c r="L27" t="n">
        <v>1</v>
      </c>
      <c r="M27" t="n">
        <v>1</v>
      </c>
      <c r="N27" t="n">
        <v>1.15</v>
      </c>
      <c r="O27" t="n">
        <v>0.14</v>
      </c>
      <c r="P27" s="3" t="n">
        <v>25500</v>
      </c>
      <c r="Q27" s="4" t="n">
        <v>17500</v>
      </c>
      <c r="R27" s="5" t="n">
        <v>20400</v>
      </c>
      <c r="S27" s="6" t="n">
        <v>-0.2</v>
      </c>
      <c r="T27" s="7" t="n">
        <v>0.1657142857142857</v>
      </c>
    </row>
    <row r="28">
      <c r="A28" t="inlineStr">
        <is>
          <t>3066333</t>
        </is>
      </c>
      <c r="B28" t="inlineStr">
        <is>
          <t>רנו טורקיה</t>
        </is>
      </c>
      <c r="C28" t="inlineStr">
        <is>
          <t>CLIO</t>
        </is>
      </c>
      <c r="D28" t="n">
        <v>2015</v>
      </c>
      <c r="E28" t="n">
        <v>10.4</v>
      </c>
      <c r="F28" t="inlineStr">
        <is>
          <t>IL</t>
        </is>
      </c>
      <c r="G28" s="2" t="n">
        <v>108990</v>
      </c>
      <c r="H28" s="2" t="n"/>
      <c r="I28" t="n">
        <v>1</v>
      </c>
      <c r="J28" t="inlineStr">
        <is>
          <t>Weak-resale</t>
        </is>
      </c>
      <c r="K28" t="n">
        <v>0.232</v>
      </c>
      <c r="L28" t="n">
        <v>1</v>
      </c>
      <c r="M28" t="n">
        <v>1</v>
      </c>
      <c r="N28" t="n">
        <v>0.78</v>
      </c>
      <c r="O28" t="n">
        <v>0.181</v>
      </c>
      <c r="P28" s="3" t="n">
        <v>35000</v>
      </c>
      <c r="Q28" s="4" t="n">
        <v>19500</v>
      </c>
      <c r="R28" s="5" t="n">
        <v>24000</v>
      </c>
      <c r="S28" s="6" t="n">
        <v>-0.3142857142857143</v>
      </c>
      <c r="T28" s="7" t="n">
        <v>0.2307692307692308</v>
      </c>
    </row>
    <row r="29">
      <c r="A29" t="inlineStr">
        <is>
          <t>46321803</t>
        </is>
      </c>
      <c r="B29" t="inlineStr">
        <is>
          <t>טויוטה צרפת</t>
        </is>
      </c>
      <c r="C29" t="inlineStr">
        <is>
          <t>YARIS CROSS HSD</t>
        </is>
      </c>
      <c r="D29" t="n">
        <v>2023</v>
      </c>
      <c r="E29" t="n">
        <v>2.9</v>
      </c>
      <c r="F29" t="inlineStr">
        <is>
          <t>IL</t>
        </is>
      </c>
      <c r="G29" s="2" t="n">
        <v>145990</v>
      </c>
      <c r="H29" s="2" t="n">
        <v>67435</v>
      </c>
      <c r="I29" t="n">
        <v>1</v>
      </c>
      <c r="J29" t="inlineStr">
        <is>
          <t>Premium-reliable</t>
        </is>
      </c>
      <c r="K29" t="n">
        <v>0.8070000000000001</v>
      </c>
      <c r="L29" t="n">
        <v>0.88</v>
      </c>
      <c r="M29" t="n">
        <v>0.976</v>
      </c>
      <c r="N29" t="n">
        <v>1.1</v>
      </c>
      <c r="O29" t="n">
        <v>0.768</v>
      </c>
      <c r="P29" s="3" t="n">
        <v>93000</v>
      </c>
      <c r="Q29" s="4" t="n">
        <v>112000</v>
      </c>
      <c r="R29" s="5" t="n">
        <v>113800</v>
      </c>
      <c r="S29" s="6" t="n">
        <v>0.2236559139784946</v>
      </c>
      <c r="T29" s="7" t="n">
        <v>0.01607142857142857</v>
      </c>
    </row>
    <row r="30">
      <c r="A30" t="inlineStr">
        <is>
          <t>30524401</t>
        </is>
      </c>
      <c r="B30" t="inlineStr">
        <is>
          <t>פורד ארה"ב</t>
        </is>
      </c>
      <c r="C30" t="inlineStr">
        <is>
          <t>EXPLORER LIMITE</t>
        </is>
      </c>
      <c r="D30" t="n">
        <v>2018</v>
      </c>
      <c r="E30" t="n">
        <v>7.9</v>
      </c>
      <c r="F30" t="inlineStr">
        <is>
          <t>IL</t>
        </is>
      </c>
      <c r="G30" s="2" t="n">
        <v>329000</v>
      </c>
      <c r="H30" s="2" t="n">
        <v>85879</v>
      </c>
      <c r="I30" t="n">
        <v>2</v>
      </c>
      <c r="J30" t="inlineStr">
        <is>
          <t>Mid-reliable</t>
        </is>
      </c>
      <c r="K30" t="n">
        <v>0.363</v>
      </c>
      <c r="L30" t="n">
        <v>0.95</v>
      </c>
      <c r="M30" t="n">
        <v>1.032</v>
      </c>
      <c r="N30" t="n">
        <v>1.02</v>
      </c>
      <c r="O30" t="n">
        <v>0.377</v>
      </c>
      <c r="P30" s="3" t="n">
        <v>149000</v>
      </c>
      <c r="Q30" s="4" t="n">
        <v>124000</v>
      </c>
      <c r="R30" s="5" t="n">
        <v>110090</v>
      </c>
      <c r="S30" s="6" t="n">
        <v>-0.2611409395973154</v>
      </c>
      <c r="T30" s="7" t="n">
        <v>-0.1121774193548387</v>
      </c>
    </row>
    <row r="31">
      <c r="A31" t="inlineStr">
        <is>
          <t>30607202</t>
        </is>
      </c>
      <c r="B31" t="inlineStr">
        <is>
          <t>פיג'ו צרפת</t>
        </is>
      </c>
      <c r="C31" t="inlineStr">
        <is>
          <t>3008</t>
        </is>
      </c>
      <c r="D31" t="n">
        <v>2021</v>
      </c>
      <c r="E31" t="n">
        <v>4.9</v>
      </c>
      <c r="F31" t="inlineStr">
        <is>
          <t>IL</t>
        </is>
      </c>
      <c r="G31" s="2" t="n">
        <v>169990</v>
      </c>
      <c r="H31" s="2" t="n">
        <v>85057</v>
      </c>
      <c r="I31" t="n">
        <v>3</v>
      </c>
      <c r="J31" t="inlineStr">
        <is>
          <t>Weak-resale</t>
        </is>
      </c>
      <c r="K31" t="n">
        <v>0.628</v>
      </c>
      <c r="L31" t="n">
        <v>0.836</v>
      </c>
      <c r="M31" t="n">
        <v>0.988</v>
      </c>
      <c r="N31" t="n">
        <v>0.92</v>
      </c>
      <c r="O31" t="n">
        <v>0.495</v>
      </c>
      <c r="P31" s="3" t="n">
        <v>74500</v>
      </c>
      <c r="Q31" s="4" t="n">
        <v>84000</v>
      </c>
      <c r="R31" s="5" t="n">
        <v>98000</v>
      </c>
      <c r="S31" s="6" t="n">
        <v>0.3154362416107382</v>
      </c>
      <c r="T31" s="7" t="n">
        <v>0.1666666666666667</v>
      </c>
    </row>
    <row r="32">
      <c r="A32" t="inlineStr">
        <is>
          <t>4382071</t>
        </is>
      </c>
      <c r="B32" t="inlineStr">
        <is>
          <t>מזדה יפן</t>
        </is>
      </c>
      <c r="C32" t="inlineStr">
        <is>
          <t>MAZDA 3</t>
        </is>
      </c>
      <c r="D32" t="n">
        <v>2010</v>
      </c>
      <c r="E32" t="n">
        <v>15.4</v>
      </c>
      <c r="F32" t="inlineStr">
        <is>
          <t>IL</t>
        </is>
      </c>
      <c r="G32" s="2" t="n">
        <v>118500</v>
      </c>
      <c r="H32" s="2" t="n"/>
      <c r="I32" t="n">
        <v>1</v>
      </c>
      <c r="J32" t="inlineStr">
        <is>
          <t>Premium-reliable</t>
        </is>
      </c>
      <c r="K32" t="n">
        <v>0.104</v>
      </c>
      <c r="L32" t="n">
        <v>1</v>
      </c>
      <c r="M32" t="n">
        <v>1</v>
      </c>
      <c r="N32" t="n">
        <v>1.1</v>
      </c>
      <c r="O32" t="n">
        <v>0.115</v>
      </c>
      <c r="P32" s="3" t="n">
        <v>24500</v>
      </c>
      <c r="Q32" s="4" t="n">
        <v>13500</v>
      </c>
      <c r="R32" s="5" t="n">
        <v>12000</v>
      </c>
      <c r="S32" s="6" t="n">
        <v>-0.5102040816326531</v>
      </c>
      <c r="T32" s="7" t="n">
        <v>-0.1111111111111111</v>
      </c>
    </row>
    <row r="33">
      <c r="A33" t="inlineStr">
        <is>
          <t>8486338</t>
        </is>
      </c>
      <c r="B33" t="inlineStr">
        <is>
          <t>קיה סלובקיה</t>
        </is>
      </c>
      <c r="C33" t="inlineStr">
        <is>
          <t>SPORTAGE</t>
        </is>
      </c>
      <c r="D33" t="n">
        <v>2016</v>
      </c>
      <c r="E33" t="n">
        <v>9.9</v>
      </c>
      <c r="F33" t="inlineStr">
        <is>
          <t>IL</t>
        </is>
      </c>
      <c r="G33" s="2" t="n">
        <v>137900</v>
      </c>
      <c r="H33" s="2" t="n"/>
      <c r="I33" t="n">
        <v>1</v>
      </c>
      <c r="J33" t="inlineStr">
        <is>
          <t>Korean-IL</t>
        </is>
      </c>
      <c r="K33" t="n">
        <v>0.25</v>
      </c>
      <c r="L33" t="n">
        <v>1</v>
      </c>
      <c r="M33" t="n">
        <v>1</v>
      </c>
      <c r="N33" t="n">
        <v>1.1</v>
      </c>
      <c r="O33" t="n">
        <v>0.277</v>
      </c>
      <c r="P33" s="3" t="n">
        <v>54500</v>
      </c>
      <c r="Q33" s="4" t="n">
        <v>38000</v>
      </c>
      <c r="R33" s="5" t="n">
        <v>51000</v>
      </c>
      <c r="S33" s="6" t="n">
        <v>-0.06422018348623854</v>
      </c>
      <c r="T33" s="7" t="n">
        <v>0.3421052631578947</v>
      </c>
    </row>
    <row r="34">
      <c r="A34" t="inlineStr">
        <is>
          <t>63411102</t>
        </is>
      </c>
      <c r="B34" t="inlineStr">
        <is>
          <t>יונדאי קוריאה</t>
        </is>
      </c>
      <c r="C34" t="inlineStr">
        <is>
          <t>ELANTRA HEV</t>
        </is>
      </c>
      <c r="D34" t="n">
        <v>2022</v>
      </c>
      <c r="E34" t="n">
        <v>3.9</v>
      </c>
      <c r="F34" t="inlineStr">
        <is>
          <t>IL</t>
        </is>
      </c>
      <c r="G34" s="2" t="n">
        <v>149900</v>
      </c>
      <c r="H34" s="2" t="n">
        <v>72419</v>
      </c>
      <c r="I34" t="n">
        <v>3</v>
      </c>
      <c r="J34" t="inlineStr">
        <is>
          <t>Korean-IL</t>
        </is>
      </c>
      <c r="K34" t="n">
        <v>0.78</v>
      </c>
      <c r="L34" t="n">
        <v>0.9</v>
      </c>
      <c r="M34" t="n">
        <v>0.986</v>
      </c>
      <c r="N34" t="n">
        <v>1.1</v>
      </c>
      <c r="O34" t="n">
        <v>0.784</v>
      </c>
      <c r="P34" s="3" t="n">
        <v>86500</v>
      </c>
      <c r="Q34" s="4" t="n">
        <v>117000</v>
      </c>
      <c r="R34" s="5" t="n">
        <v>130290</v>
      </c>
      <c r="S34" s="6" t="n">
        <v>0.506242774566474</v>
      </c>
      <c r="T34" s="7" t="n">
        <v>0.1135897435897436</v>
      </c>
    </row>
    <row r="35">
      <c r="A35" t="inlineStr">
        <is>
          <t>46963902</t>
        </is>
      </c>
      <c r="B35" t="inlineStr">
        <is>
          <t>ניסאן אנגליה</t>
        </is>
      </c>
      <c r="C35" t="inlineStr">
        <is>
          <t>QASHQAI</t>
        </is>
      </c>
      <c r="D35" t="n">
        <v>2021</v>
      </c>
      <c r="E35" t="n">
        <v>4.9</v>
      </c>
      <c r="F35" t="inlineStr">
        <is>
          <t>IL</t>
        </is>
      </c>
      <c r="G35" s="2" t="n">
        <v>158990</v>
      </c>
      <c r="H35" s="2" t="n">
        <v>85272</v>
      </c>
      <c r="I35" t="n">
        <v>1</v>
      </c>
      <c r="J35" t="inlineStr">
        <is>
          <t>Mid-reliable</t>
        </is>
      </c>
      <c r="K35" t="n">
        <v>0.628</v>
      </c>
      <c r="L35" t="n">
        <v>1</v>
      </c>
      <c r="M35" t="n">
        <v>0.988</v>
      </c>
      <c r="N35" t="n">
        <v>1.02</v>
      </c>
      <c r="O35" t="n">
        <v>0.638</v>
      </c>
      <c r="P35" s="3" t="n">
        <v>91000</v>
      </c>
      <c r="Q35" s="4" t="n">
        <v>101000</v>
      </c>
      <c r="R35" s="5" t="n">
        <v>102420</v>
      </c>
      <c r="S35" s="6" t="n">
        <v>0.1254945054945055</v>
      </c>
      <c r="T35" s="7" t="n">
        <v>0.01405940594059406</v>
      </c>
    </row>
    <row r="36">
      <c r="A36" t="inlineStr">
        <is>
          <t>5206026</t>
        </is>
      </c>
      <c r="B36" t="inlineStr">
        <is>
          <t>טויוטה טורקיה</t>
        </is>
      </c>
      <c r="C36" t="inlineStr">
        <is>
          <t>COROLLA HSD SDN</t>
        </is>
      </c>
      <c r="D36" t="n">
        <v>2022</v>
      </c>
      <c r="E36" t="n">
        <v>3.9</v>
      </c>
      <c r="F36" t="inlineStr">
        <is>
          <t>IL</t>
        </is>
      </c>
      <c r="G36" s="2" t="n">
        <v>145990</v>
      </c>
      <c r="H36" s="2" t="n"/>
      <c r="I36" t="n">
        <v>1</v>
      </c>
      <c r="J36" t="inlineStr">
        <is>
          <t>Premium-reliable</t>
        </is>
      </c>
      <c r="K36" t="n">
        <v>0.78</v>
      </c>
      <c r="L36" t="n">
        <v>1</v>
      </c>
      <c r="M36" t="n">
        <v>1</v>
      </c>
      <c r="N36" t="n">
        <v>1.1</v>
      </c>
      <c r="O36" t="n">
        <v>0.824</v>
      </c>
      <c r="P36" s="3" t="n">
        <v>102000</v>
      </c>
      <c r="Q36" s="4" t="n">
        <v>120000</v>
      </c>
      <c r="R36" s="5" t="n">
        <v>115140</v>
      </c>
      <c r="S36" s="6" t="n">
        <v>0.1288235294117647</v>
      </c>
      <c r="T36" s="7" t="n">
        <v>-0.0405</v>
      </c>
    </row>
    <row r="37">
      <c r="A37" t="inlineStr">
        <is>
          <t>26589903</t>
        </is>
      </c>
      <c r="B37" t="inlineStr">
        <is>
          <t>פולקסווגן-ספרד</t>
        </is>
      </c>
      <c r="C37" t="inlineStr">
        <is>
          <t>POLO</t>
        </is>
      </c>
      <c r="D37" t="n">
        <v>2023</v>
      </c>
      <c r="E37" t="n">
        <v>2.9</v>
      </c>
      <c r="F37" t="inlineStr">
        <is>
          <t>IL</t>
        </is>
      </c>
      <c r="G37" s="2" t="n">
        <v>127900</v>
      </c>
      <c r="H37" s="2" t="n"/>
      <c r="I37" t="n">
        <v>1</v>
      </c>
      <c r="J37" t="inlineStr">
        <is>
          <t>Mid-reliable</t>
        </is>
      </c>
      <c r="K37" t="n">
        <v>0.733</v>
      </c>
      <c r="L37" t="n">
        <v>1</v>
      </c>
      <c r="M37" t="n">
        <v>1</v>
      </c>
      <c r="N37" t="n">
        <v>1.02</v>
      </c>
      <c r="O37" t="n">
        <v>0.718</v>
      </c>
      <c r="P37" s="3" t="n">
        <v>88500</v>
      </c>
      <c r="Q37" s="4" t="n">
        <v>91500</v>
      </c>
      <c r="R37" s="5" t="n">
        <v>89000</v>
      </c>
      <c r="S37" s="6" t="n">
        <v>0.005649717514124294</v>
      </c>
      <c r="T37" s="7" t="n">
        <v>-0.0273224043715847</v>
      </c>
    </row>
    <row r="38">
      <c r="A38" t="inlineStr">
        <is>
          <t>23977802</t>
        </is>
      </c>
      <c r="B38" t="inlineStr">
        <is>
          <t>ניסאן מקסיקו</t>
        </is>
      </c>
      <c r="C38" t="inlineStr">
        <is>
          <t>SENTRA</t>
        </is>
      </c>
      <c r="D38" t="n">
        <v>2020</v>
      </c>
      <c r="E38" t="n">
        <v>5.4</v>
      </c>
      <c r="F38" t="inlineStr">
        <is>
          <t>IL</t>
        </is>
      </c>
      <c r="G38" s="2" t="n">
        <v>134990</v>
      </c>
      <c r="H38" s="2" t="n"/>
      <c r="I38" t="n">
        <v>1</v>
      </c>
      <c r="J38" t="inlineStr">
        <is>
          <t>Mid-reliable</t>
        </is>
      </c>
      <c r="K38" t="n">
        <v>0.574</v>
      </c>
      <c r="L38" t="n">
        <v>1</v>
      </c>
      <c r="M38" t="n">
        <v>1</v>
      </c>
      <c r="N38" t="n">
        <v>1.02</v>
      </c>
      <c r="O38" t="n">
        <v>0.585</v>
      </c>
      <c r="P38" s="3" t="n">
        <v>79000</v>
      </c>
      <c r="Q38" s="4" t="n">
        <v>79000</v>
      </c>
      <c r="R38" s="5" t="n">
        <v>68000</v>
      </c>
      <c r="S38" s="6" t="n">
        <v>-0.1392405063291139</v>
      </c>
      <c r="T38" s="7" t="n">
        <v>-0.1392405063291139</v>
      </c>
    </row>
    <row r="39">
      <c r="A39" t="inlineStr">
        <is>
          <t>66180203</t>
        </is>
      </c>
      <c r="B39" t="inlineStr">
        <is>
          <t>סובארו יפן</t>
        </is>
      </c>
      <c r="C39" t="inlineStr">
        <is>
          <t>CROSSTREK</t>
        </is>
      </c>
      <c r="D39" t="n">
        <v>2024</v>
      </c>
      <c r="E39" t="n">
        <v>1.9</v>
      </c>
      <c r="F39" t="inlineStr">
        <is>
          <t>IL</t>
        </is>
      </c>
      <c r="G39" s="2" t="n">
        <v>164900</v>
      </c>
      <c r="H39" s="2" t="n"/>
      <c r="I39" t="n">
        <v>1</v>
      </c>
      <c r="J39" t="inlineStr">
        <is>
          <t>Premium-reliable</t>
        </is>
      </c>
      <c r="K39" t="n">
        <v>0.793</v>
      </c>
      <c r="L39" t="n">
        <v>1</v>
      </c>
      <c r="M39" t="n">
        <v>1</v>
      </c>
      <c r="N39" t="n">
        <v>1</v>
      </c>
      <c r="O39" t="n">
        <v>0.799</v>
      </c>
      <c r="P39" s="3" t="n">
        <v>142000</v>
      </c>
      <c r="Q39" s="4" t="n">
        <v>131000</v>
      </c>
      <c r="R39" s="5" t="n">
        <v>120290</v>
      </c>
      <c r="S39" s="6" t="n">
        <v>-0.152887323943662</v>
      </c>
      <c r="T39" s="7" t="n">
        <v>-0.08175572519083969</v>
      </c>
    </row>
    <row r="40">
      <c r="A40" t="inlineStr">
        <is>
          <t>28011101</t>
        </is>
      </c>
      <c r="B40" t="inlineStr">
        <is>
          <t>פיג'ו צרפת</t>
        </is>
      </c>
      <c r="C40" t="inlineStr">
        <is>
          <t>308</t>
        </is>
      </c>
      <c r="D40" t="n">
        <v>2018</v>
      </c>
      <c r="E40" t="n">
        <v>7.9</v>
      </c>
      <c r="F40" t="inlineStr">
        <is>
          <t>IL</t>
        </is>
      </c>
      <c r="G40" s="2" t="n">
        <v>129900</v>
      </c>
      <c r="H40" s="2" t="n">
        <v>95170</v>
      </c>
      <c r="I40" t="n">
        <v>1</v>
      </c>
      <c r="J40" t="inlineStr">
        <is>
          <t>Weak-resale</t>
        </is>
      </c>
      <c r="K40" t="n">
        <v>0.363</v>
      </c>
      <c r="L40" t="n">
        <v>1</v>
      </c>
      <c r="M40" t="n">
        <v>1.023</v>
      </c>
      <c r="N40" t="n">
        <v>0.92</v>
      </c>
      <c r="O40" t="n">
        <v>0.352</v>
      </c>
      <c r="P40" s="3" t="n">
        <v>58500</v>
      </c>
      <c r="Q40" s="4" t="n">
        <v>45500</v>
      </c>
      <c r="R40" s="5" t="n">
        <v>37370</v>
      </c>
      <c r="S40" s="6" t="n">
        <v>-0.3611965811965812</v>
      </c>
      <c r="T40" s="7" t="n">
        <v>-0.1786813186813187</v>
      </c>
    </row>
    <row r="41">
      <c r="A41" t="inlineStr">
        <is>
          <t>71912603</t>
        </is>
      </c>
      <c r="B41" t="inlineStr">
        <is>
          <t>זיקר</t>
        </is>
      </c>
      <c r="C41" t="inlineStr">
        <is>
          <t>ZEEKR X</t>
        </is>
      </c>
      <c r="D41" t="n">
        <v>2024</v>
      </c>
      <c r="E41" t="n">
        <v>1.9</v>
      </c>
      <c r="F41" t="inlineStr">
        <is>
          <t>IL</t>
        </is>
      </c>
      <c r="G41" s="2" t="n">
        <v>204990</v>
      </c>
      <c r="H41" s="2" t="n"/>
      <c r="I41" t="n">
        <v>1</v>
      </c>
      <c r="J41" t="inlineStr">
        <is>
          <t>Chinese-IL</t>
        </is>
      </c>
      <c r="K41" t="n">
        <v>0.674</v>
      </c>
      <c r="L41" t="n">
        <v>1</v>
      </c>
      <c r="M41" t="n">
        <v>1</v>
      </c>
      <c r="N41" t="n">
        <v>0.95</v>
      </c>
      <c r="O41" t="n">
        <v>0.672</v>
      </c>
      <c r="P41" s="3" t="n">
        <v>121000</v>
      </c>
      <c r="Q41" s="4" t="n">
        <v>137000</v>
      </c>
      <c r="R41" s="5" t="n">
        <v>154600</v>
      </c>
      <c r="S41" s="6" t="n">
        <v>0.2776859504132231</v>
      </c>
      <c r="T41" s="7" t="n">
        <v>0.1284671532846715</v>
      </c>
    </row>
    <row r="42">
      <c r="A42" t="inlineStr">
        <is>
          <t>76866003</t>
        </is>
      </c>
      <c r="B42" t="inlineStr">
        <is>
          <t>אודי מכסיקו</t>
        </is>
      </c>
      <c r="C42" t="inlineStr">
        <is>
          <t>Q5</t>
        </is>
      </c>
      <c r="D42" t="n">
        <v>2024</v>
      </c>
      <c r="E42" t="n">
        <v>1.9</v>
      </c>
      <c r="F42" t="inlineStr">
        <is>
          <t>IL</t>
        </is>
      </c>
      <c r="G42" s="2" t="n">
        <v>398900</v>
      </c>
      <c r="H42" s="2" t="n"/>
      <c r="I42" t="n">
        <v>1</v>
      </c>
      <c r="J42" t="inlineStr">
        <is>
          <t>Premium-Lux</t>
        </is>
      </c>
      <c r="K42" t="n">
        <v>0.793</v>
      </c>
      <c r="L42" t="n">
        <v>1</v>
      </c>
      <c r="M42" t="n">
        <v>1</v>
      </c>
      <c r="N42" t="n">
        <v>1</v>
      </c>
      <c r="O42" t="n">
        <v>0.799</v>
      </c>
      <c r="P42" s="3" t="n">
        <v>312000</v>
      </c>
      <c r="Q42" s="4" t="n">
        <v>318000</v>
      </c>
      <c r="R42" s="5" t="n">
        <v>269200</v>
      </c>
      <c r="S42" s="6" t="n">
        <v>-0.1371794871794872</v>
      </c>
      <c r="T42" s="7" t="n">
        <v>-0.1534591194968553</v>
      </c>
    </row>
    <row r="43">
      <c r="A43" t="inlineStr">
        <is>
          <t>62940301</t>
        </is>
      </c>
      <c r="B43" t="inlineStr">
        <is>
          <t>סקודה צ'כיה</t>
        </is>
      </c>
      <c r="C43" t="inlineStr">
        <is>
          <t>KAROQ</t>
        </is>
      </c>
      <c r="D43" t="n">
        <v>2019</v>
      </c>
      <c r="E43" t="n">
        <v>6.9</v>
      </c>
      <c r="F43" t="inlineStr">
        <is>
          <t>IL</t>
        </is>
      </c>
      <c r="G43" s="2" t="n">
        <v>174990</v>
      </c>
      <c r="H43" s="2" t="n">
        <v>174426</v>
      </c>
      <c r="I43" t="n">
        <v>3</v>
      </c>
      <c r="J43" t="inlineStr">
        <is>
          <t>Mid-reliable</t>
        </is>
      </c>
      <c r="K43" t="n">
        <v>0.402</v>
      </c>
      <c r="L43" t="n">
        <v>0.9</v>
      </c>
      <c r="M43" t="n">
        <v>0.95</v>
      </c>
      <c r="N43" t="n">
        <v>1.02</v>
      </c>
      <c r="O43" t="n">
        <v>0.368</v>
      </c>
      <c r="P43" s="3" t="n">
        <v>66000</v>
      </c>
      <c r="Q43" s="4" t="n">
        <v>64000</v>
      </c>
      <c r="R43" s="5" t="n">
        <v>71000</v>
      </c>
      <c r="S43" s="6" t="n">
        <v>0.07575757575757576</v>
      </c>
      <c r="T43" s="7" t="n">
        <v>0.109375</v>
      </c>
    </row>
    <row r="44">
      <c r="A44" t="inlineStr">
        <is>
          <t>36443104</t>
        </is>
      </c>
      <c r="B44" t="inlineStr">
        <is>
          <t>ג'אקו סין</t>
        </is>
      </c>
      <c r="C44" t="inlineStr">
        <is>
          <t>JAECOO7 PHEV</t>
        </is>
      </c>
      <c r="D44" t="n">
        <v>2025</v>
      </c>
      <c r="E44" t="n">
        <v>0.9</v>
      </c>
      <c r="F44" t="inlineStr">
        <is>
          <t>IL</t>
        </is>
      </c>
      <c r="G44" s="2" t="n">
        <v>189990</v>
      </c>
      <c r="H44" s="2" t="n"/>
      <c r="I44" t="n">
        <v>1</v>
      </c>
      <c r="J44" t="inlineStr">
        <is>
          <t>Chinese-IL</t>
        </is>
      </c>
      <c r="K44" t="n">
        <v>0.9429999999999999</v>
      </c>
      <c r="L44" t="n">
        <v>0.82</v>
      </c>
      <c r="M44" t="n">
        <v>1</v>
      </c>
      <c r="N44" t="n">
        <v>1</v>
      </c>
      <c r="O44" t="n">
        <v>0.853</v>
      </c>
      <c r="P44" s="3" t="n">
        <v>100000</v>
      </c>
      <c r="Q44" s="4" t="n">
        <v>162000</v>
      </c>
      <c r="R44" s="5" t="n">
        <v>166400</v>
      </c>
      <c r="S44" s="6" t="n">
        <v>0.664</v>
      </c>
      <c r="T44" s="7" t="n">
        <v>0.02716049382716049</v>
      </c>
    </row>
    <row r="45">
      <c r="A45" t="inlineStr">
        <is>
          <t>82019002</t>
        </is>
      </c>
      <c r="B45" t="inlineStr">
        <is>
          <t>טויוטה טורקיה</t>
        </is>
      </c>
      <c r="C45" t="inlineStr">
        <is>
          <t>COROLLA HSD SDN</t>
        </is>
      </c>
      <c r="D45" t="n">
        <v>2021</v>
      </c>
      <c r="E45" t="n">
        <v>4.4</v>
      </c>
      <c r="F45" t="inlineStr">
        <is>
          <t>IL</t>
        </is>
      </c>
      <c r="G45" s="2" t="n">
        <v>140900</v>
      </c>
      <c r="H45" s="2" t="n">
        <v>105502</v>
      </c>
      <c r="I45" t="n">
        <v>2</v>
      </c>
      <c r="J45" t="inlineStr">
        <is>
          <t>Premium-reliable</t>
        </is>
      </c>
      <c r="K45" t="n">
        <v>0.753</v>
      </c>
      <c r="L45" t="n">
        <v>0.858</v>
      </c>
      <c r="M45" t="n">
        <v>0.96</v>
      </c>
      <c r="N45" t="n">
        <v>1.1</v>
      </c>
      <c r="O45" t="n">
        <v>0.655</v>
      </c>
      <c r="P45" s="3" t="n">
        <v>75000</v>
      </c>
      <c r="Q45" s="4" t="n">
        <v>92000</v>
      </c>
      <c r="R45" s="5" t="n">
        <v>111300</v>
      </c>
      <c r="S45" s="6" t="n">
        <v>0.484</v>
      </c>
      <c r="T45" s="7" t="n">
        <v>0.2097826086956522</v>
      </c>
    </row>
    <row r="46">
      <c r="A46" t="inlineStr">
        <is>
          <t>7368834</t>
        </is>
      </c>
      <c r="B46" t="inlineStr">
        <is>
          <t>פיאט פולין</t>
        </is>
      </c>
      <c r="C46" t="inlineStr">
        <is>
          <t>FIAT 500 1.2</t>
        </is>
      </c>
      <c r="D46" t="n">
        <v>2015</v>
      </c>
      <c r="E46" t="n">
        <v>10.4</v>
      </c>
      <c r="F46" t="inlineStr">
        <is>
          <t>IL</t>
        </is>
      </c>
      <c r="G46" s="2" t="n">
        <v>116900</v>
      </c>
      <c r="H46" s="2" t="n"/>
      <c r="I46" t="n">
        <v>1</v>
      </c>
      <c r="J46" t="inlineStr">
        <is>
          <t>Weak-resale</t>
        </is>
      </c>
      <c r="K46" t="n">
        <v>0.232</v>
      </c>
      <c r="L46" t="n">
        <v>1</v>
      </c>
      <c r="M46" t="n">
        <v>1</v>
      </c>
      <c r="N46" t="n">
        <v>0.78</v>
      </c>
      <c r="O46" t="n">
        <v>0.181</v>
      </c>
      <c r="P46" s="3" t="n">
        <v>37500</v>
      </c>
      <c r="Q46" s="4" t="n">
        <v>21000</v>
      </c>
      <c r="R46" s="5" t="n">
        <v>19000</v>
      </c>
      <c r="S46" s="6" t="n">
        <v>-0.4933333333333333</v>
      </c>
      <c r="T46" s="7" t="n">
        <v>-0.09523809523809523</v>
      </c>
    </row>
    <row r="47">
      <c r="A47" t="inlineStr">
        <is>
          <t>59751601</t>
        </is>
      </c>
      <c r="B47" t="inlineStr">
        <is>
          <t>ב מ וו גרמניה</t>
        </is>
      </c>
      <c r="C47" t="inlineStr">
        <is>
          <t>M850I XDRIVE</t>
        </is>
      </c>
      <c r="D47" t="n">
        <v>2019</v>
      </c>
      <c r="E47" t="n">
        <v>6.9</v>
      </c>
      <c r="F47" t="inlineStr">
        <is>
          <t>IL</t>
        </is>
      </c>
      <c r="G47" s="2" t="n">
        <v>1300000</v>
      </c>
      <c r="H47" s="2" t="n">
        <v>156980</v>
      </c>
      <c r="I47" t="n">
        <v>3</v>
      </c>
      <c r="J47" t="inlineStr">
        <is>
          <t>Performance-Lux</t>
        </is>
      </c>
      <c r="K47" t="n">
        <v>0.437</v>
      </c>
      <c r="L47" t="n">
        <v>0.836</v>
      </c>
      <c r="M47" t="n">
        <v>0.95</v>
      </c>
      <c r="N47" t="n">
        <v>0.7</v>
      </c>
      <c r="O47" t="n">
        <v>0.233</v>
      </c>
      <c r="P47" s="3" t="n">
        <v>458000</v>
      </c>
      <c r="Q47" s="4" t="n">
        <v>303000</v>
      </c>
      <c r="R47" s="5" t="n">
        <v>313000</v>
      </c>
      <c r="S47" s="6" t="n">
        <v>-0.3165938864628821</v>
      </c>
      <c r="T47" s="7" t="n">
        <v>0.033003300330033</v>
      </c>
    </row>
    <row r="48">
      <c r="A48" t="inlineStr">
        <is>
          <t>10736004</t>
        </is>
      </c>
      <c r="B48" t="inlineStr">
        <is>
          <t>טסלה גרמניה</t>
        </is>
      </c>
      <c r="C48" t="inlineStr">
        <is>
          <t>MODEL Y</t>
        </is>
      </c>
      <c r="D48" t="n">
        <v>2024</v>
      </c>
      <c r="E48" t="n">
        <v>1.4</v>
      </c>
      <c r="F48" t="inlineStr">
        <is>
          <t>IL</t>
        </is>
      </c>
      <c r="G48" s="2" t="n">
        <v>235575</v>
      </c>
      <c r="H48" s="2" t="n"/>
      <c r="I48" t="n">
        <v>1</v>
      </c>
      <c r="J48" t="inlineStr">
        <is>
          <t>Standard</t>
        </is>
      </c>
      <c r="K48" t="n">
        <v>0.699</v>
      </c>
      <c r="L48" t="n">
        <v>1</v>
      </c>
      <c r="M48" t="n">
        <v>1</v>
      </c>
      <c r="N48" t="n">
        <v>1</v>
      </c>
      <c r="O48" t="n">
        <v>0.734</v>
      </c>
      <c r="P48" s="3" t="n">
        <v>169000</v>
      </c>
      <c r="Q48" s="4" t="n">
        <v>172000</v>
      </c>
      <c r="R48" s="5" t="n">
        <v>161000</v>
      </c>
      <c r="S48" s="6" t="n">
        <v>-0.04733727810650887</v>
      </c>
      <c r="T48" s="7" t="n">
        <v>-0.06395348837209303</v>
      </c>
    </row>
    <row r="49">
      <c r="A49" t="inlineStr">
        <is>
          <t>45166601</t>
        </is>
      </c>
      <c r="B49" t="inlineStr">
        <is>
          <t>לקסוס יפן</t>
        </is>
      </c>
      <c r="C49" t="inlineStr">
        <is>
          <t>LEXUS IS300H</t>
        </is>
      </c>
      <c r="D49" t="n">
        <v>2018</v>
      </c>
      <c r="E49" t="n">
        <v>7.5</v>
      </c>
      <c r="F49" t="inlineStr">
        <is>
          <t>IL</t>
        </is>
      </c>
      <c r="G49" s="2" t="n">
        <v>235000</v>
      </c>
      <c r="H49" s="2" t="n">
        <v>168800</v>
      </c>
      <c r="I49" t="n">
        <v>3</v>
      </c>
      <c r="J49" t="inlineStr">
        <is>
          <t>Premium-reliable</t>
        </is>
      </c>
      <c r="K49" t="n">
        <v>0.389</v>
      </c>
      <c r="L49" t="n">
        <v>0.9</v>
      </c>
      <c r="M49" t="n">
        <v>0.95</v>
      </c>
      <c r="N49" t="n">
        <v>1.1</v>
      </c>
      <c r="O49" t="n">
        <v>0.362</v>
      </c>
      <c r="P49" s="3" t="n">
        <v>92500</v>
      </c>
      <c r="Q49" s="4" t="n">
        <v>85000</v>
      </c>
      <c r="R49" s="5" t="n">
        <v>89760</v>
      </c>
      <c r="S49" s="6" t="n">
        <v>-0.02962162162162162</v>
      </c>
      <c r="T49" s="7" t="n">
        <v>0.056</v>
      </c>
    </row>
    <row r="50">
      <c r="A50" t="inlineStr">
        <is>
          <t>33380902</t>
        </is>
      </c>
      <c r="B50" t="inlineStr">
        <is>
          <t>סוזוקי-יפן</t>
        </is>
      </c>
      <c r="C50" t="inlineStr">
        <is>
          <t>JIMNY</t>
        </is>
      </c>
      <c r="D50" t="n">
        <v>2020</v>
      </c>
      <c r="E50" t="n">
        <v>5.4</v>
      </c>
      <c r="F50" t="inlineStr">
        <is>
          <t>IL</t>
        </is>
      </c>
      <c r="G50" s="2" t="n">
        <v>135990</v>
      </c>
      <c r="H50" s="2" t="n">
        <v>42683</v>
      </c>
      <c r="I50" t="n">
        <v>1</v>
      </c>
      <c r="J50" t="inlineStr">
        <is>
          <t>Suzuki-solid</t>
        </is>
      </c>
      <c r="K50" t="n">
        <v>0.574</v>
      </c>
      <c r="L50" t="n">
        <v>1</v>
      </c>
      <c r="M50" t="n">
        <v>1.039</v>
      </c>
      <c r="N50" t="n">
        <v>1.05</v>
      </c>
      <c r="O50" t="n">
        <v>0.618</v>
      </c>
      <c r="P50" s="3" t="n">
        <v>84500</v>
      </c>
      <c r="Q50" s="4" t="n">
        <v>84000</v>
      </c>
      <c r="R50" s="5" t="n">
        <v>94000</v>
      </c>
      <c r="S50" s="6" t="n">
        <v>0.1124260355029586</v>
      </c>
      <c r="T50" s="7" t="n">
        <v>0.119047619047619</v>
      </c>
    </row>
    <row r="51">
      <c r="A51" t="inlineStr">
        <is>
          <t>33359501</t>
        </is>
      </c>
      <c r="B51" t="inlineStr">
        <is>
          <t>מזדה יפן</t>
        </is>
      </c>
      <c r="C51" t="inlineStr">
        <is>
          <t>CX-3</t>
        </is>
      </c>
      <c r="D51" t="n">
        <v>2018</v>
      </c>
      <c r="E51" t="n">
        <v>7.9</v>
      </c>
      <c r="F51" t="inlineStr">
        <is>
          <t>IL</t>
        </is>
      </c>
      <c r="G51" s="2" t="n">
        <v>145000</v>
      </c>
      <c r="H51" s="2" t="n">
        <v>43241</v>
      </c>
      <c r="I51" t="n">
        <v>2</v>
      </c>
      <c r="J51" t="inlineStr">
        <is>
          <t>Premium-reliable</t>
        </is>
      </c>
      <c r="K51" t="n">
        <v>0.363</v>
      </c>
      <c r="L51" t="n">
        <v>0.95</v>
      </c>
      <c r="M51" t="n">
        <v>1.075</v>
      </c>
      <c r="N51" t="n">
        <v>1.1</v>
      </c>
      <c r="O51" t="n">
        <v>0.411</v>
      </c>
      <c r="P51" s="3" t="n">
        <v>68500</v>
      </c>
      <c r="Q51" s="4" t="n">
        <v>59500</v>
      </c>
      <c r="R51" s="5" t="n">
        <v>56000</v>
      </c>
      <c r="S51" s="6" t="n">
        <v>-0.1824817518248175</v>
      </c>
      <c r="T51" s="7" t="n">
        <v>-0.05882352941176471</v>
      </c>
    </row>
    <row r="52">
      <c r="A52" t="inlineStr">
        <is>
          <t>5520476</t>
        </is>
      </c>
      <c r="B52" t="inlineStr">
        <is>
          <t>יונדאי צ'כיה</t>
        </is>
      </c>
      <c r="C52" t="inlineStr">
        <is>
          <t>I30</t>
        </is>
      </c>
      <c r="D52" t="n">
        <v>2011</v>
      </c>
      <c r="E52" t="n">
        <v>14.9</v>
      </c>
      <c r="F52" t="inlineStr">
        <is>
          <t>IL</t>
        </is>
      </c>
      <c r="G52" s="2" t="n">
        <v>120000</v>
      </c>
      <c r="H52" s="2" t="n"/>
      <c r="I52" t="n">
        <v>1</v>
      </c>
      <c r="J52" t="inlineStr">
        <is>
          <t>Korean-IL</t>
        </is>
      </c>
      <c r="K52" t="n">
        <v>0.112</v>
      </c>
      <c r="L52" t="n">
        <v>0.88</v>
      </c>
      <c r="M52" t="n">
        <v>1</v>
      </c>
      <c r="N52" t="n">
        <v>1.1</v>
      </c>
      <c r="O52" t="n">
        <v>0.112</v>
      </c>
      <c r="P52" s="3" t="n">
        <v>25000</v>
      </c>
      <c r="Q52" s="4" t="n">
        <v>13000</v>
      </c>
      <c r="R52" s="5" t="n">
        <v>14000</v>
      </c>
      <c r="S52" s="6" t="n">
        <v>-0.44</v>
      </c>
      <c r="T52" s="7" t="n">
        <v>0.07692307692307693</v>
      </c>
    </row>
    <row r="53">
      <c r="A53" t="inlineStr">
        <is>
          <t>78332502</t>
        </is>
      </c>
      <c r="B53" t="inlineStr">
        <is>
          <t>יונדאי הודו</t>
        </is>
      </c>
      <c r="C53" t="inlineStr">
        <is>
          <t>ACCENT</t>
        </is>
      </c>
      <c r="D53" t="n">
        <v>2022</v>
      </c>
      <c r="E53" t="n">
        <v>3.9</v>
      </c>
      <c r="F53" t="inlineStr">
        <is>
          <t>IL</t>
        </is>
      </c>
      <c r="G53" s="2" t="n">
        <v>121900</v>
      </c>
      <c r="H53" s="2" t="n">
        <v>68152</v>
      </c>
      <c r="I53" t="n">
        <v>2</v>
      </c>
      <c r="J53" t="inlineStr">
        <is>
          <t>Korean-IL</t>
        </is>
      </c>
      <c r="K53" t="n">
        <v>0.679</v>
      </c>
      <c r="L53" t="n">
        <v>0.858</v>
      </c>
      <c r="M53" t="n">
        <v>0.99</v>
      </c>
      <c r="N53" t="n">
        <v>1.1</v>
      </c>
      <c r="O53" t="n">
        <v>0.653</v>
      </c>
      <c r="P53" s="3" t="n">
        <v>74500</v>
      </c>
      <c r="Q53" s="4" t="n">
        <v>79500</v>
      </c>
      <c r="R53" s="5" t="n">
        <v>71400</v>
      </c>
      <c r="S53" s="6" t="n">
        <v>-0.04161073825503356</v>
      </c>
      <c r="T53" s="7" t="n">
        <v>-0.1018867924528302</v>
      </c>
    </row>
    <row r="54">
      <c r="A54" t="inlineStr">
        <is>
          <t>75033502</t>
        </is>
      </c>
      <c r="B54" t="inlineStr">
        <is>
          <t>סיטרואן ספרד</t>
        </is>
      </c>
      <c r="C54" t="inlineStr">
        <is>
          <t>BERLINGO</t>
        </is>
      </c>
      <c r="D54" t="n">
        <v>2022</v>
      </c>
      <c r="E54" t="n">
        <v>3.9</v>
      </c>
      <c r="F54" t="inlineStr">
        <is>
          <t>IL</t>
        </is>
      </c>
      <c r="G54" s="2" t="n">
        <v>149990</v>
      </c>
      <c r="H54" s="2" t="n"/>
      <c r="I54" t="n">
        <v>1</v>
      </c>
      <c r="J54" t="inlineStr">
        <is>
          <t>Commercial</t>
        </is>
      </c>
      <c r="K54" t="n">
        <v>0.665</v>
      </c>
      <c r="L54" t="n">
        <v>1</v>
      </c>
      <c r="M54" t="n">
        <v>1</v>
      </c>
      <c r="N54" t="n">
        <v>1</v>
      </c>
      <c r="O54" t="n">
        <v>0.665</v>
      </c>
      <c r="P54" s="3" t="n">
        <v>90000</v>
      </c>
      <c r="Q54" s="4" t="n">
        <v>99500</v>
      </c>
      <c r="R54" s="5" t="n">
        <v>94200</v>
      </c>
      <c r="S54" s="6" t="n">
        <v>0.04666666666666667</v>
      </c>
      <c r="T54" s="7" t="n">
        <v>-0.05326633165829146</v>
      </c>
    </row>
    <row r="55">
      <c r="A55" t="inlineStr">
        <is>
          <t>3980775</t>
        </is>
      </c>
      <c r="B55" t="inlineStr">
        <is>
          <t>מזדה יפן</t>
        </is>
      </c>
      <c r="C55" t="inlineStr">
        <is>
          <t>MAZDA 3</t>
        </is>
      </c>
      <c r="D55" t="n">
        <v>2011</v>
      </c>
      <c r="E55" t="n">
        <v>14.4</v>
      </c>
      <c r="F55" t="inlineStr">
        <is>
          <t>IL</t>
        </is>
      </c>
      <c r="G55" s="2" t="n">
        <v>120000</v>
      </c>
      <c r="H55" s="2" t="n"/>
      <c r="I55" t="n">
        <v>1</v>
      </c>
      <c r="J55" t="inlineStr">
        <is>
          <t>Premium-reliable</t>
        </is>
      </c>
      <c r="K55" t="n">
        <v>0.123</v>
      </c>
      <c r="L55" t="n">
        <v>1</v>
      </c>
      <c r="M55" t="n">
        <v>1</v>
      </c>
      <c r="N55" t="n">
        <v>1.1</v>
      </c>
      <c r="O55" t="n">
        <v>0.135</v>
      </c>
      <c r="P55" s="3" t="n">
        <v>27500</v>
      </c>
      <c r="Q55" s="4" t="n">
        <v>16000</v>
      </c>
      <c r="R55" s="5" t="n">
        <v>13700</v>
      </c>
      <c r="S55" s="6" t="n">
        <v>-0.5018181818181818</v>
      </c>
      <c r="T55" s="7" t="n">
        <v>-0.14375</v>
      </c>
    </row>
    <row r="56">
      <c r="A56" t="inlineStr">
        <is>
          <t>78714903</t>
        </is>
      </c>
      <c r="B56" t="inlineStr">
        <is>
          <t>יונדאי קוריאה</t>
        </is>
      </c>
      <c r="C56" t="inlineStr">
        <is>
          <t>ELANTRA HEV</t>
        </is>
      </c>
      <c r="D56" t="n">
        <v>2024</v>
      </c>
      <c r="E56" t="n">
        <v>1.9</v>
      </c>
      <c r="F56" t="inlineStr">
        <is>
          <t>IL</t>
        </is>
      </c>
      <c r="G56" s="2" t="n">
        <v>169900</v>
      </c>
      <c r="H56" s="2" t="n"/>
      <c r="I56" t="n">
        <v>1</v>
      </c>
      <c r="J56" t="inlineStr">
        <is>
          <t>Korean-IL</t>
        </is>
      </c>
      <c r="K56" t="n">
        <v>0.872</v>
      </c>
      <c r="L56" t="n">
        <v>0.82</v>
      </c>
      <c r="M56" t="n">
        <v>1</v>
      </c>
      <c r="N56" t="n">
        <v>1.1</v>
      </c>
      <c r="O56" t="n">
        <v>0.8100000000000001</v>
      </c>
      <c r="P56" s="3" t="n">
        <v>118000</v>
      </c>
      <c r="Q56" s="4" t="n">
        <v>137000</v>
      </c>
      <c r="R56" s="5" t="n">
        <v>145500</v>
      </c>
      <c r="S56" s="6" t="n">
        <v>0.2330508474576271</v>
      </c>
      <c r="T56" s="7" t="n">
        <v>0.06204379562043796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8" t="inlineStr">
        <is>
          <t>מדד</t>
        </is>
      </c>
      <c r="B1" s="8" t="inlineStr">
        <is>
          <t>Kotlin ישן</t>
        </is>
      </c>
      <c r="C1" s="8" t="inlineStr">
        <is>
          <t>v3 חדש</t>
        </is>
      </c>
    </row>
    <row r="2">
      <c r="A2" s="9" t="inlineStr">
        <is>
          <t>MAD (סטיה מוחלטת ממוצעת)</t>
        </is>
      </c>
      <c r="B2" s="10">
        <f>SUMPRODUCT(ABS('v3 vs LY'!S2:S56))/COUNT('v3 vs LY'!S2:S56)</f>
        <v/>
      </c>
      <c r="C2" s="10">
        <f>SUMPRODUCT(ABS('v3 vs LY'!T2:T56))/COUNT('v3 vs LY'!T2:T56)</f>
        <v/>
      </c>
    </row>
    <row r="3">
      <c r="A3" s="9" t="inlineStr">
        <is>
          <t>מחזיק ±10%</t>
        </is>
      </c>
      <c r="B3" s="10">
        <f>COUNTIFS('v3 vs LY'!S2:S56,"&gt;-0.1",'v3 vs LY'!S2:S56,"&lt;0.1")/COUNT('v3 vs LY'!S2:S56)</f>
        <v/>
      </c>
      <c r="C3" s="10">
        <f>COUNTIFS('v3 vs LY'!T2:T56,"&gt;-0.1",'v3 vs LY'!T2:T56,"&lt;0.1")/COUNT('v3 vs LY'!T2:T56)</f>
        <v/>
      </c>
    </row>
    <row r="4">
      <c r="A4" s="9" t="inlineStr">
        <is>
          <t>מחזיק ±20%</t>
        </is>
      </c>
      <c r="B4" s="10">
        <f>COUNTIFS('v3 vs LY'!S2:S56,"&gt;-0.2",'v3 vs LY'!S2:S56,"&lt;0.2")/COUNT('v3 vs LY'!S2:S56)</f>
        <v/>
      </c>
      <c r="C4" s="10">
        <f>COUNTIFS('v3 vs LY'!T2:T56,"&gt;-0.2",'v3 vs LY'!T2:T56,"&lt;0.2")/COUNT('v3 vs LY'!T2:T56)</f>
        <v/>
      </c>
    </row>
    <row r="5">
      <c r="A5" s="9" t="inlineStr">
        <is>
          <t>ממוצע Δ</t>
        </is>
      </c>
      <c r="B5" s="10">
        <f>AVERAGE('v3 vs LY'!S2:S56)</f>
        <v/>
      </c>
      <c r="C5" s="10">
        <f>AVERAGE('v3 vs LY'!T2:T56)</f>
        <v/>
      </c>
    </row>
    <row r="6">
      <c r="A6" s="9" t="inlineStr">
        <is>
          <t>חציון Δ</t>
        </is>
      </c>
      <c r="B6" s="10">
        <f>MEDIAN('v3 vs LY'!S2:S56)</f>
        <v/>
      </c>
      <c r="C6" s="10">
        <f>MEDIAN('v3 vs LY'!T2:T56)</f>
        <v/>
      </c>
    </row>
    <row r="7">
      <c r="A7" s="9" t="inlineStr">
        <is>
          <t>max Δ</t>
        </is>
      </c>
      <c r="B7" s="10">
        <f>MAX('v3 vs LY'!S2:S56)</f>
        <v/>
      </c>
      <c r="C7" s="10">
        <f>MAX('v3 vs LY'!T2:T56)</f>
        <v/>
      </c>
    </row>
    <row r="8">
      <c r="A8" s="9" t="inlineStr">
        <is>
          <t>min Δ</t>
        </is>
      </c>
      <c r="B8" s="10">
        <f>MIN('v3 vs LY'!S2:S56)</f>
        <v/>
      </c>
      <c r="C8" s="10">
        <f>MIN('v3 vs LY'!T2:T56)</f>
        <v/>
      </c>
    </row>
    <row r="9">
      <c r="A9" s="9" t="inlineStr">
        <is>
          <t>סה"כ רכבים</t>
        </is>
      </c>
      <c r="B9" s="9">
        <f>COUNT('v3 vs LY'!S2:S56)</f>
        <v/>
      </c>
      <c r="C9" s="9">
        <f>COUNT('v3 vs LY'!T2:T56)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2026-04-22T17:45:37Z</dcterms:created>
  <dcterms:modified xmlns:dcterms="http://purl.org/dc/terms/" xmlns:xsi="http://www.w3.org/2001/XMLSchema-instance" xsi:type="dcterms:W3CDTF">2026-04-22T17:45:37Z</dcterms:modified>
</cp:coreProperties>
</file>